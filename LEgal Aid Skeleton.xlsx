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0"/>
  <workbookPr/>
  <mc:AlternateContent xmlns:mc="http://schemas.openxmlformats.org/markup-compatibility/2006">
    <mc:Choice Requires="x15">
      <x15ac:absPath xmlns:x15ac="http://schemas.microsoft.com/office/spreadsheetml/2010/11/ac" url="https://d.docs.live.net/C38BB3E2F2E21730/Documents/Downloads/"/>
    </mc:Choice>
  </mc:AlternateContent>
  <xr:revisionPtr revIDLastSave="0" documentId="8_{8EEC00B2-B69C-4A4E-89A7-A4B033E3A1CC}" xr6:coauthVersionLast="47" xr6:coauthVersionMax="47" xr10:uidLastSave="{00000000-0000-0000-0000-000000000000}"/>
  <bookViews>
    <workbookView xWindow="6165" yWindow="2475" windowWidth="24555" windowHeight="13020" firstSheet="2" activeTab="2" xr2:uid="{8BE4215A-1CFD-405F-97CB-B05E751F48CE}"/>
  </bookViews>
  <sheets>
    <sheet name="SUMMARY_DASHBOARD" sheetId="10" r:id="rId1"/>
    <sheet name="DATA_INPUT" sheetId="1" r:id="rId2"/>
    <sheet name="CHIMERA_FLAGS" sheetId="9" r:id="rId3"/>
  </sheets>
  <calcPr calcId="191028"/>
  <pivotCaches>
    <pivotCache cacheId="793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7" i="10" l="1"/>
  <c r="B14" i="10"/>
  <c r="G2" i="9"/>
  <c r="B2" i="10"/>
  <c r="B1" i="10"/>
</calcChain>
</file>

<file path=xl/sharedStrings.xml><?xml version="1.0" encoding="utf-8"?>
<sst xmlns="http://schemas.openxmlformats.org/spreadsheetml/2006/main" count="42" uniqueCount="26">
  <si>
    <t>Contradiction Density Index (CDI)</t>
  </si>
  <si>
    <t>Collapse Engine Status</t>
  </si>
  <si>
    <t>Narrative Drift</t>
  </si>
  <si>
    <t>Row Labels</t>
  </si>
  <si>
    <t>Count of Case_Id</t>
  </si>
  <si>
    <t>Containment</t>
  </si>
  <si>
    <t>Erasure</t>
  </si>
  <si>
    <t>Punishment</t>
  </si>
  <si>
    <t>Redemption</t>
  </si>
  <si>
    <t>Rehabilitation</t>
  </si>
  <si>
    <t>(blank)</t>
  </si>
  <si>
    <t>Grand Total</t>
  </si>
  <si>
    <t>Mutation Prompt Rate</t>
  </si>
  <si>
    <t>Mutation Load Status</t>
  </si>
  <si>
    <t>Case_ID Race    Gender  Age Charge_Type Plea_Deal   Sentence_Length_Months  Judge_ID    Defense_Type    Conviction_Date</t>
  </si>
  <si>
    <t>Case_Id</t>
  </si>
  <si>
    <t>Contradiction_1</t>
  </si>
  <si>
    <t>Contradiction_2</t>
  </si>
  <si>
    <t>Contradiction_3</t>
  </si>
  <si>
    <t>Narrative_Drift</t>
  </si>
  <si>
    <t>Collapse_Trigger</t>
  </si>
  <si>
    <t>Mutation_Prompt</t>
  </si>
  <si>
    <t>Racial_Bias_Flag</t>
  </si>
  <si>
    <t>Y</t>
  </si>
  <si>
    <t>N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</si>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</sst>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0" fontId="0" fillId="0" borderId="0" xfId="0" quotePrefix="1"/>
    <xf numFmtId="0" fontId="0" fillId="0" borderId="0" xfId="0" pivotButt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c" refreshedDate="46049.815452662035" createdVersion="8" refreshedVersion="8" minRefreshableVersion="3" recordCount="6" xr:uid="{8C503905-E2B5-4DA9-B3DE-C74A76AA3B05}">
  <cacheSource type="worksheet">
    <worksheetSource ref="A1:H1000" sheet="CHIMERA_FLAGS"/>
  </cacheSource>
  <cacheFields count="8">
    <cacheField name="Case_Id" numFmtId="0">
      <sharedItems containsString="0" containsBlank="1" containsNumber="1" containsInteger="1" minValue="1" maxValue="2"/>
    </cacheField>
    <cacheField name="Contradiction_1" numFmtId="0">
      <sharedItems containsBlank="1"/>
    </cacheField>
    <cacheField name="Contradiction_2" numFmtId="0">
      <sharedItems containsBlank="1"/>
    </cacheField>
    <cacheField name="Contradiction_3" numFmtId="0">
      <sharedItems containsBlank="1"/>
    </cacheField>
    <cacheField name="Narrative_Drift" numFmtId="0">
      <sharedItems containsBlank="1" count="6">
        <s v="Punishment"/>
        <s v="Containment"/>
        <s v="Redemption"/>
        <s v="Rehabilitation"/>
        <s v="Erasure"/>
        <m/>
      </sharedItems>
    </cacheField>
    <cacheField name="Collapse_Trigger" numFmtId="0">
      <sharedItems containsBlank="1"/>
    </cacheField>
    <cacheField name="Mutation_Prompt" numFmtId="0">
      <sharedItems containsBlank="1"/>
    </cacheField>
    <cacheField name="Punishment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n v="1"/>
    <s v="Y"/>
    <s v="N"/>
    <s v="Y"/>
    <x v="0"/>
    <s v="Y"/>
    <s v="X"/>
    <s v="Punishment"/>
  </r>
  <r>
    <n v="2"/>
    <s v="N"/>
    <s v="Y"/>
    <s v="N"/>
    <x v="1"/>
    <s v="N"/>
    <s v="X"/>
    <s v="Rehabilitation"/>
  </r>
  <r>
    <m/>
    <m/>
    <m/>
    <m/>
    <x v="2"/>
    <m/>
    <m/>
    <m/>
  </r>
  <r>
    <m/>
    <m/>
    <m/>
    <m/>
    <x v="3"/>
    <m/>
    <m/>
    <m/>
  </r>
  <r>
    <m/>
    <m/>
    <m/>
    <m/>
    <x v="4"/>
    <m/>
    <m/>
    <m/>
  </r>
  <r>
    <m/>
    <m/>
    <m/>
    <m/>
    <x v="5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74034E-77D9-4108-81B6-6745B01566DD}" name="PivotTable4" cacheId="79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5:C12" firstHeaderRow="1" firstDataRow="1" firstDataCol="1"/>
  <pivotFields count="8">
    <pivotField dataField="1" showAll="0"/>
    <pivotField showAll="0"/>
    <pivotField showAll="0"/>
    <pivotField showAll="0"/>
    <pivotField axis="axisRow" showAll="0">
      <items count="7">
        <item x="1"/>
        <item x="4"/>
        <item x="0"/>
        <item x="2"/>
        <item x="3"/>
        <item x="5"/>
        <item t="default"/>
      </items>
    </pivotField>
    <pivotField showAll="0"/>
    <pivotField showAll="0"/>
    <pivotField showAll="0"/>
  </pivotFields>
  <rowFields count="1">
    <field x="4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unt of Case_Id" fld="0" subtotal="count" baseField="4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C3F24-7141-448B-BF07-379FFD0D8861}">
  <dimension ref="A1:E17"/>
  <sheetViews>
    <sheetView workbookViewId="0">
      <selection activeCell="B17" sqref="B17"/>
    </sheetView>
  </sheetViews>
  <sheetFormatPr defaultRowHeight="15"/>
  <cols>
    <col min="1" max="1" width="29.28515625" customWidth="1"/>
    <col min="2" max="2" width="13.5703125" bestFit="1" customWidth="1"/>
    <col min="3" max="3" width="16.5703125" bestFit="1" customWidth="1"/>
  </cols>
  <sheetData>
    <row r="1" spans="1:5">
      <c r="A1" t="s">
        <v>0</v>
      </c>
      <c r="B1">
        <f>COUNTIF(CHIMERA_FLAGS!B2:D1000,"Y") / (COUNTA(CHIMERA_FLAGS!A2:A1000)*3)</f>
        <v>0.5</v>
      </c>
      <c r="E1" s="2"/>
    </row>
    <row r="2" spans="1:5">
      <c r="A2" t="s">
        <v>1</v>
      </c>
      <c r="B2" t="str">
        <f>IF(A2&lt;0.15,"⚪ Stable",IF(A2&lt;0.3,"🟡 Saturated","🔴 Collapsing"))</f>
        <v>🔴 Collapsing</v>
      </c>
    </row>
    <row r="4" spans="1:5">
      <c r="A4" t="s">
        <v>2</v>
      </c>
    </row>
    <row r="5" spans="1:5">
      <c r="B5" s="3" t="s">
        <v>3</v>
      </c>
      <c r="C5" t="s">
        <v>4</v>
      </c>
    </row>
    <row r="6" spans="1:5">
      <c r="B6" s="1" t="s">
        <v>5</v>
      </c>
      <c r="C6">
        <v>1</v>
      </c>
    </row>
    <row r="7" spans="1:5">
      <c r="B7" s="1" t="s">
        <v>6</v>
      </c>
    </row>
    <row r="8" spans="1:5">
      <c r="B8" s="1" t="s">
        <v>7</v>
      </c>
      <c r="C8">
        <v>1</v>
      </c>
    </row>
    <row r="9" spans="1:5">
      <c r="B9" s="1" t="s">
        <v>8</v>
      </c>
    </row>
    <row r="10" spans="1:5">
      <c r="B10" s="1" t="s">
        <v>9</v>
      </c>
    </row>
    <row r="11" spans="1:5">
      <c r="B11" s="1" t="s">
        <v>10</v>
      </c>
    </row>
    <row r="12" spans="1:5">
      <c r="B12" s="1" t="s">
        <v>11</v>
      </c>
      <c r="C12">
        <v>2</v>
      </c>
    </row>
    <row r="14" spans="1:5">
      <c r="A14" t="s">
        <v>12</v>
      </c>
      <c r="B14">
        <f>COUNTIF(CHIMERA_FLAGS!G2:G1000,"X") / COUNTA(CHIMERA_FLAGS!A2:A1000)</f>
        <v>1</v>
      </c>
    </row>
    <row r="17" spans="1:2">
      <c r="A17" t="s">
        <v>13</v>
      </c>
      <c r="B17" t="str">
        <f>IF(A4&lt;0.1,"🧩 Dormant",IF(A4&lt;0.25,"🧬 Emerging","🧨 Active"))</f>
        <v>🧨 Active</v>
      </c>
    </row>
  </sheetData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8EA393-8040-49A8-823D-816367518495}">
  <dimension ref="A1"/>
  <sheetViews>
    <sheetView workbookViewId="0">
      <selection activeCell="B17" sqref="B17"/>
    </sheetView>
  </sheetViews>
  <sheetFormatPr defaultRowHeight="15"/>
  <cols>
    <col min="1" max="1" width="7.7109375" customWidth="1"/>
    <col min="2" max="2" width="5.140625" customWidth="1"/>
    <col min="3" max="3" width="7.42578125" customWidth="1"/>
    <col min="4" max="4" width="3.85546875" customWidth="1"/>
    <col min="5" max="5" width="11.42578125" customWidth="1"/>
    <col min="6" max="6" width="9" customWidth="1"/>
    <col min="7" max="7" width="23.5703125" customWidth="1"/>
    <col min="8" max="8" width="9" customWidth="1"/>
    <col min="9" max="9" width="12.85546875" customWidth="1"/>
    <col min="10" max="10" width="18.28515625" customWidth="1"/>
  </cols>
  <sheetData>
    <row r="1" spans="1:1">
      <c r="A1" t="s">
        <v>14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ED3778-D315-4EBA-99B2-AE3E67C4DBF8}">
  <dimension ref="A1:I6"/>
  <sheetViews>
    <sheetView tabSelected="1" workbookViewId="0">
      <selection activeCell="B17" sqref="B17"/>
    </sheetView>
  </sheetViews>
  <sheetFormatPr defaultRowHeight="15"/>
  <cols>
    <col min="2" max="2" width="14.140625" customWidth="1"/>
    <col min="3" max="4" width="14.28515625" customWidth="1"/>
    <col min="5" max="5" width="13.28515625" customWidth="1"/>
    <col min="6" max="6" width="15.140625" customWidth="1"/>
    <col min="7" max="7" width="15.85546875" customWidth="1"/>
    <col min="8" max="8" width="13.28515625" customWidth="1"/>
    <col min="9" max="9" width="15.7109375" customWidth="1"/>
  </cols>
  <sheetData>
    <row r="1" spans="1:9">
      <c r="A1" t="s">
        <v>15</v>
      </c>
      <c r="B1" t="s">
        <v>16</v>
      </c>
      <c r="C1" t="s">
        <v>17</v>
      </c>
      <c r="D1" t="s">
        <v>18</v>
      </c>
      <c r="E1" t="s">
        <v>19</v>
      </c>
      <c r="F1" t="s">
        <v>20</v>
      </c>
      <c r="G1" t="s">
        <v>21</v>
      </c>
      <c r="H1" t="s">
        <v>7</v>
      </c>
      <c r="I1" t="s">
        <v>22</v>
      </c>
    </row>
    <row r="2" spans="1:9">
      <c r="A2">
        <v>1</v>
      </c>
      <c r="B2" t="s">
        <v>23</v>
      </c>
      <c r="C2" t="s">
        <v>24</v>
      </c>
      <c r="D2" t="s">
        <v>23</v>
      </c>
      <c r="E2" t="s">
        <v>7</v>
      </c>
      <c r="F2" t="s">
        <v>23</v>
      </c>
      <c r="G2" t="str">
        <f>IF(I2="Y","X","")</f>
        <v>X</v>
      </c>
      <c r="H2" t="s">
        <v>7</v>
      </c>
      <c r="I2" t="s">
        <v>23</v>
      </c>
    </row>
    <row r="3" spans="1:9">
      <c r="A3">
        <v>2</v>
      </c>
      <c r="B3" t="s">
        <v>24</v>
      </c>
      <c r="C3" t="s">
        <v>23</v>
      </c>
      <c r="D3" t="s">
        <v>24</v>
      </c>
      <c r="E3" t="s">
        <v>5</v>
      </c>
      <c r="F3" t="s">
        <v>24</v>
      </c>
      <c r="G3" t="s">
        <v>25</v>
      </c>
      <c r="H3" t="s">
        <v>9</v>
      </c>
      <c r="I3" t="s">
        <v>24</v>
      </c>
    </row>
    <row r="4" spans="1:9">
      <c r="E4" t="s">
        <v>8</v>
      </c>
    </row>
    <row r="5" spans="1:9">
      <c r="E5" t="s">
        <v>9</v>
      </c>
    </row>
    <row r="6" spans="1:9">
      <c r="E6" t="s">
        <v>6</v>
      </c>
    </row>
  </sheetData>
  <dataValidations count="1">
    <dataValidation type="list" allowBlank="1" showInputMessage="1" showErrorMessage="1" sqref="E1:E1048576" xr:uid="{DA420967-552A-45D3-A2E7-586790F8BBDD}">
      <formula1>"Containment,Punishment,Rehabilitation,Redemption,Erasure,Other"</formula1>
    </dataValidation>
  </dataValidations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samuel peacock</dc:creator>
  <cp:keywords/>
  <dc:description/>
  <cp:lastModifiedBy/>
  <cp:revision/>
  <dcterms:created xsi:type="dcterms:W3CDTF">2026-01-27T02:45:21Z</dcterms:created>
  <dcterms:modified xsi:type="dcterms:W3CDTF">2026-03-14T18:09:15Z</dcterms:modified>
  <cp:category/>
  <cp:contentStatus/>
</cp:coreProperties>
</file>